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Monthly Trend" sheetId="2" state="visible" r:id="rId2"/>
    <sheet xmlns:r="http://schemas.openxmlformats.org/officeDocument/2006/relationships" name="Category &amp; Segm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9"/>
    </font>
    <font>
      <name val="Segoe UI"/>
      <b val="1"/>
      <color rgb="00FFFFFF"/>
      <sz val="14"/>
    </font>
    <font>
      <name val="Segoe UI"/>
      <b val="1"/>
      <color rgb="00FFFFFF"/>
      <sz val="12"/>
    </font>
    <font>
      <name val="Segoe UI"/>
      <b val="1"/>
      <color rgb="00FFFFFF"/>
      <sz val="11"/>
    </font>
    <font>
      <name val="Segoe UI"/>
      <color rgb="001A1A2E"/>
      <sz val="10"/>
    </font>
    <font>
      <name val="Segoe U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F6F73"/>
      </patternFill>
    </fill>
    <fill>
      <patternFill patternType="solid">
        <fgColor rgb="005368A6"/>
      </patternFill>
    </fill>
    <fill>
      <patternFill patternType="solid">
        <fgColor rgb="00A35C2D"/>
      </patternFill>
    </fill>
    <fill>
      <patternFill patternType="solid">
        <fgColor rgb="002A9D8F"/>
      </patternFill>
    </fill>
    <fill>
      <patternFill patternType="solid">
        <fgColor rgb="00E63946"/>
      </patternFill>
    </fill>
    <fill>
      <patternFill patternType="solid">
        <fgColor rgb="00F8F9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/>
    </xf>
    <xf numFmtId="164" fontId="6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right" vertical="center"/>
    </xf>
    <xf numFmtId="10" fontId="6" fillId="8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10" fontId="6" fillId="9" borderId="1" applyAlignment="1" pivotButton="0" quotePrefix="0" xfId="0">
      <alignment horizontal="right" vertical="center"/>
    </xf>
    <xf numFmtId="0" fontId="5" fillId="6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164" fontId="7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right" vertical="center"/>
    </xf>
    <xf numFmtId="10" fontId="7" fillId="2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Sales Channel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Dashboard'!H8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F6F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368A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35C2D"/>
              </a:solidFill>
              <a:ln xmlns:a="http://schemas.openxmlformats.org/drawingml/2006/main">
                <a:prstDash val="solid"/>
              </a:ln>
            </spPr>
          </dPt>
          <cat>
            <numRef>
              <f>'Executive Dashboard'!$G$9:$G$11</f>
            </numRef>
          </cat>
          <val>
            <numRef>
              <f>'Executive Dashboard'!$H$9:$H$11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Products by Revenue ($)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Dashboard'!B8</f>
            </strRef>
          </tx>
          <spPr>
            <a:solidFill xmlns:a="http://schemas.openxmlformats.org/drawingml/2006/main">
              <a:srgbClr val="2F6F73"/>
            </a:solidFill>
            <a:ln xmlns:a="http://schemas.openxmlformats.org/drawingml/2006/main">
              <a:solidFill>
                <a:srgbClr val="2F6F73"/>
              </a:solidFill>
              <a:prstDash val="solid"/>
            </a:ln>
          </spPr>
          <cat>
            <numRef>
              <f>'Executive Dashboard'!$A$9:$A$16</f>
            </numRef>
          </cat>
          <val>
            <numRef>
              <f>'Executive Dashboard'!$B$9:$B$16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Gross Profit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Trend'!B2</f>
            </strRef>
          </tx>
          <spPr>
            <a:ln xmlns:a="http://schemas.openxmlformats.org/drawingml/2006/main" w="25000">
              <a:solidFill>
                <a:srgbClr val="5368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Trend'!$A$3:$A$17</f>
            </numRef>
          </cat>
          <val>
            <numRef>
              <f>'Monthly Trend'!$B$3:$B$17</f>
            </numRef>
          </val>
        </ser>
        <ser>
          <idx val="1"/>
          <order val="1"/>
          <tx>
            <strRef>
              <f>'Monthly Trend'!E2</f>
            </strRef>
          </tx>
          <spPr>
            <a:ln xmlns:a="http://schemas.openxmlformats.org/drawingml/2006/main" w="25000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Trend'!$A$3:$A$17</f>
            </numRef>
          </cat>
          <val>
            <numRef>
              <f>'Monthly Trend'!$E$3:$E$17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Order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Trend'!C2</f>
            </strRef>
          </tx>
          <spPr>
            <a:solidFill xmlns:a="http://schemas.openxmlformats.org/drawingml/2006/main">
              <a:srgbClr val="A35C2D"/>
            </a:solidFill>
            <a:ln xmlns:a="http://schemas.openxmlformats.org/drawingml/2006/main">
              <a:solidFill>
                <a:srgbClr val="A35C2D"/>
              </a:solidFill>
              <a:prstDash val="solid"/>
            </a:ln>
          </spPr>
          <cat>
            <numRef>
              <f>'Monthly Trend'!$A$3:$A$17</f>
            </numRef>
          </cat>
          <val>
            <numRef>
              <f>'Monthly Trend'!$C$3:$C$17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&amp; Segments'!B4</f>
            </strRef>
          </tx>
          <spPr>
            <a:solidFill xmlns:a="http://schemas.openxmlformats.org/drawingml/2006/main">
              <a:srgbClr val="2F6F73"/>
            </a:solidFill>
            <a:ln xmlns:a="http://schemas.openxmlformats.org/drawingml/2006/main">
              <a:solidFill>
                <a:srgbClr val="2F6F73"/>
              </a:solidFill>
              <a:prstDash val="solid"/>
            </a:ln>
          </spPr>
          <cat>
            <numRef>
              <f>'Category &amp; Segments'!$A$5:$A$8</f>
            </numRef>
          </cat>
          <val>
            <numRef>
              <f>'Category &amp; Segments'!$B$5:$B$8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per Customer by Age Group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&amp; Segments'!J4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'Category &amp; Segments'!$G$5:$G$9</f>
            </numRef>
          </cat>
          <val>
            <numRef>
              <f>'Category &amp; Segments'!$J$5:$J$9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Revenue/Customer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Category Revenue Share</a:t>
            </a:r>
          </a:p>
        </rich>
      </tx>
    </title>
    <plotArea>
      <pieChart>
        <varyColors val="1"/>
        <ser>
          <idx val="0"/>
          <order val="0"/>
          <tx>
            <strRef>
              <f>'Category &amp; Segments'!B4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F6F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368A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35C2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9D8F"/>
              </a:solidFill>
              <a:ln xmlns:a="http://schemas.openxmlformats.org/drawingml/2006/main">
                <a:prstDash val="solid"/>
              </a:ln>
            </spPr>
          </dPt>
          <cat>
            <numRef>
              <f>'Category &amp; Segments'!$A$5:$A$8</f>
            </numRef>
          </cat>
          <val>
            <numRef>
              <f>'Category &amp; Segments'!$B$5:$B$8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28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36</row>
      <rowOff>0</rowOff>
    </from>
    <ext cx="93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27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6" customHeight="1">
      <c r="A1" s="1" t="inlineStr">
        <is>
          <t>SALES PERFORMANCE EXECUTIVE DASHBOARD</t>
        </is>
      </c>
    </row>
    <row r="3" ht="18" customHeight="1">
      <c r="B3" s="2" t="inlineStr">
        <is>
          <t>TOTAL REVENUE</t>
        </is>
      </c>
      <c r="D3" s="3" t="inlineStr">
        <is>
          <t>TOTAL ORDERS</t>
        </is>
      </c>
      <c r="F3" s="4" t="inlineStr">
        <is>
          <t>AVG ORDER VALUE</t>
        </is>
      </c>
      <c r="H3" s="5" t="inlineStr">
        <is>
          <t>GROSS MARGIN</t>
        </is>
      </c>
      <c r="J3" s="6" t="inlineStr">
        <is>
          <t>RETURN RATE</t>
        </is>
      </c>
    </row>
    <row r="4" ht="28" customHeight="1">
      <c r="B4" s="7" t="inlineStr">
        <is>
          <t>$5,328,492.40</t>
        </is>
      </c>
      <c r="D4" s="8" t="inlineStr">
        <is>
          <t>1,250</t>
        </is>
      </c>
      <c r="F4" s="9" t="inlineStr">
        <is>
          <t>$4,262.79</t>
        </is>
      </c>
      <c r="H4" s="10" t="inlineStr">
        <is>
          <t>20.32%</t>
        </is>
      </c>
      <c r="J4" s="11" t="inlineStr">
        <is>
          <t>5.20%</t>
        </is>
      </c>
    </row>
    <row r="5" ht="18" customHeight="1"/>
    <row r="7" ht="22" customHeight="1">
      <c r="A7" s="12" t="inlineStr">
        <is>
          <t xml:space="preserve">  TOP PRODUCTS BY REVENUE</t>
        </is>
      </c>
      <c r="G7" s="12" t="inlineStr">
        <is>
          <t xml:space="preserve">  REVENUE BY SALES CHANNEL</t>
        </is>
      </c>
    </row>
    <row r="8">
      <c r="A8" s="13" t="inlineStr">
        <is>
          <t>Product Name</t>
        </is>
      </c>
      <c r="B8" s="13" t="inlineStr">
        <is>
          <t>Revenue ($)</t>
        </is>
      </c>
      <c r="C8" s="13" t="inlineStr">
        <is>
          <t>Orders</t>
        </is>
      </c>
      <c r="D8" s="13" t="inlineStr">
        <is>
          <t>Avg Price ($)</t>
        </is>
      </c>
      <c r="E8" s="13" t="inlineStr">
        <is>
          <t>Return Rate (%)</t>
        </is>
      </c>
      <c r="G8" s="14" t="inlineStr">
        <is>
          <t>Sales Channel</t>
        </is>
      </c>
      <c r="H8" s="14" t="inlineStr">
        <is>
          <t>Revenue ($)</t>
        </is>
      </c>
      <c r="I8" s="14" t="inlineStr">
        <is>
          <t>Orders</t>
        </is>
      </c>
      <c r="J8" s="14" t="inlineStr">
        <is>
          <t>Profit Margin %</t>
        </is>
      </c>
    </row>
    <row r="9">
      <c r="A9" s="15" t="inlineStr">
        <is>
          <t>Smart Watch</t>
        </is>
      </c>
      <c r="B9" s="16" t="n">
        <v>1368209.84</v>
      </c>
      <c r="C9" s="17" t="n">
        <v>152</v>
      </c>
      <c r="D9" s="16" t="n">
        <v>6042.26</v>
      </c>
      <c r="E9" s="18" t="n">
        <v>0.07240000000000001</v>
      </c>
      <c r="G9" s="15" t="inlineStr">
        <is>
          <t>Website</t>
        </is>
      </c>
      <c r="H9" s="16" t="n">
        <v>2464279.62</v>
      </c>
      <c r="I9" s="17" t="n">
        <v>592</v>
      </c>
      <c r="J9" s="18" t="n">
        <v>0.1984</v>
      </c>
    </row>
    <row r="10">
      <c r="A10" s="19" t="inlineStr">
        <is>
          <t>Mechanical Keyboard</t>
        </is>
      </c>
      <c r="B10" s="20" t="n">
        <v>899189.76</v>
      </c>
      <c r="C10" s="21" t="n">
        <v>156</v>
      </c>
      <c r="D10" s="20" t="n">
        <v>3499.89</v>
      </c>
      <c r="E10" s="22" t="n">
        <v>0.0128</v>
      </c>
      <c r="G10" s="19" t="inlineStr">
        <is>
          <t>Mobile App</t>
        </is>
      </c>
      <c r="H10" s="20" t="n">
        <v>2054498.79</v>
      </c>
      <c r="I10" s="21" t="n">
        <v>456</v>
      </c>
      <c r="J10" s="22" t="n">
        <v>0.2149</v>
      </c>
    </row>
    <row r="11">
      <c r="A11" s="15" t="inlineStr">
        <is>
          <t>Webcam Pro</t>
        </is>
      </c>
      <c r="B11" s="16" t="n">
        <v>798137.5</v>
      </c>
      <c r="C11" s="17" t="n">
        <v>169</v>
      </c>
      <c r="D11" s="16" t="n">
        <v>3170.67</v>
      </c>
      <c r="E11" s="18" t="n">
        <v>0.0473</v>
      </c>
      <c r="G11" s="15" t="inlineStr">
        <is>
          <t>Retail Store</t>
        </is>
      </c>
      <c r="H11" s="16" t="n">
        <v>809713.99</v>
      </c>
      <c r="I11" s="17" t="n">
        <v>202</v>
      </c>
      <c r="J11" s="18" t="n">
        <v>0.1881</v>
      </c>
    </row>
    <row r="12">
      <c r="A12" s="19" t="inlineStr">
        <is>
          <t>Bluetooth Headphones</t>
        </is>
      </c>
      <c r="B12" s="20" t="n">
        <v>655422.34</v>
      </c>
      <c r="C12" s="21" t="n">
        <v>151</v>
      </c>
      <c r="D12" s="20" t="n">
        <v>2654.19</v>
      </c>
      <c r="E12" s="22" t="n">
        <v>0.053</v>
      </c>
    </row>
    <row r="13">
      <c r="A13" s="15" t="inlineStr">
        <is>
          <t>Portable Speaker</t>
        </is>
      </c>
      <c r="B13" s="16" t="n">
        <v>600264</v>
      </c>
      <c r="C13" s="17" t="n">
        <v>157</v>
      </c>
      <c r="D13" s="16" t="n">
        <v>2208.11</v>
      </c>
      <c r="E13" s="18" t="n">
        <v>0.0764</v>
      </c>
    </row>
    <row r="14">
      <c r="A14" s="19" t="inlineStr">
        <is>
          <t>USB-C Hub</t>
        </is>
      </c>
      <c r="B14" s="20" t="n">
        <v>506903.56</v>
      </c>
      <c r="C14" s="21" t="n">
        <v>161</v>
      </c>
      <c r="D14" s="20" t="n">
        <v>1911.33</v>
      </c>
      <c r="E14" s="22" t="n">
        <v>0.0683</v>
      </c>
    </row>
    <row r="15">
      <c r="A15" s="15" t="inlineStr">
        <is>
          <t>Laptop Stand</t>
        </is>
      </c>
      <c r="B15" s="16" t="n">
        <v>296637.2</v>
      </c>
      <c r="C15" s="17" t="n">
        <v>143</v>
      </c>
      <c r="D15" s="16" t="n">
        <v>1307.75</v>
      </c>
      <c r="E15" s="18" t="n">
        <v>0.049</v>
      </c>
    </row>
    <row r="16">
      <c r="A16" s="19" t="inlineStr">
        <is>
          <t>Wireless Mouse</t>
        </is>
      </c>
      <c r="B16" s="20" t="n">
        <v>203728.2</v>
      </c>
      <c r="C16" s="21" t="n">
        <v>161</v>
      </c>
      <c r="D16" s="20" t="n">
        <v>798.97</v>
      </c>
      <c r="E16" s="22" t="n">
        <v>0.0373</v>
      </c>
    </row>
    <row r="20" ht="22" customHeight="1">
      <c r="A20" s="12" t="inlineStr">
        <is>
          <t xml:space="preserve">  PERFORMANCE BY REGION</t>
        </is>
      </c>
      <c r="G20" s="12" t="inlineStr">
        <is>
          <t xml:space="preserve">  MARKETING CAMPAIGN SUMMARY</t>
        </is>
      </c>
    </row>
    <row r="21">
      <c r="A21" s="23" t="inlineStr">
        <is>
          <t>Region</t>
        </is>
      </c>
      <c r="B21" s="23" t="inlineStr">
        <is>
          <t>Revenue ($)</t>
        </is>
      </c>
      <c r="C21" s="23" t="inlineStr">
        <is>
          <t>Orders</t>
        </is>
      </c>
      <c r="D21" s="23" t="inlineStr">
        <is>
          <t>Gross Profit ($)</t>
        </is>
      </c>
      <c r="E21" s="23" t="inlineStr">
        <is>
          <t>Return Rate (%)</t>
        </is>
      </c>
      <c r="G21" s="24" t="inlineStr">
        <is>
          <t>Campaign</t>
        </is>
      </c>
      <c r="H21" s="24" t="inlineStr">
        <is>
          <t>Revenue ($)</t>
        </is>
      </c>
      <c r="I21" s="24" t="inlineStr">
        <is>
          <t>Orders</t>
        </is>
      </c>
      <c r="J21" s="24" t="inlineStr">
        <is>
          <t>Profit Margin %</t>
        </is>
      </c>
    </row>
    <row r="22">
      <c r="A22" s="15" t="inlineStr">
        <is>
          <t>West</t>
        </is>
      </c>
      <c r="B22" s="16" t="n">
        <v>1451298.87</v>
      </c>
      <c r="C22" s="17" t="n">
        <v>339</v>
      </c>
      <c r="D22" s="16" t="n">
        <v>273233.41</v>
      </c>
      <c r="E22" s="18" t="n">
        <v>0.0383</v>
      </c>
      <c r="G22" s="15" t="inlineStr">
        <is>
          <t>Search Ads</t>
        </is>
      </c>
      <c r="H22" s="16" t="n">
        <v>1034918.19</v>
      </c>
      <c r="I22" s="17" t="n">
        <v>219</v>
      </c>
      <c r="J22" s="18" t="n">
        <v>0.2667</v>
      </c>
    </row>
    <row r="23">
      <c r="A23" s="19" t="inlineStr">
        <is>
          <t>South</t>
        </is>
      </c>
      <c r="B23" s="20" t="n">
        <v>1301485.12</v>
      </c>
      <c r="C23" s="21" t="n">
        <v>320</v>
      </c>
      <c r="D23" s="20" t="n">
        <v>250426.93</v>
      </c>
      <c r="E23" s="22" t="n">
        <v>0.07190000000000001</v>
      </c>
      <c r="G23" s="19" t="inlineStr">
        <is>
          <t>Organic</t>
        </is>
      </c>
      <c r="H23" s="20" t="n">
        <v>946146.16</v>
      </c>
      <c r="I23" s="21" t="n">
        <v>217</v>
      </c>
      <c r="J23" s="22" t="n">
        <v>0.2098</v>
      </c>
    </row>
    <row r="24">
      <c r="A24" s="15" t="inlineStr">
        <is>
          <t>North</t>
        </is>
      </c>
      <c r="B24" s="16" t="n">
        <v>1288064.81</v>
      </c>
      <c r="C24" s="17" t="n">
        <v>299</v>
      </c>
      <c r="D24" s="16" t="n">
        <v>315503.55</v>
      </c>
      <c r="E24" s="18" t="n">
        <v>0.0569</v>
      </c>
      <c r="G24" s="15" t="inlineStr">
        <is>
          <t>Referral</t>
        </is>
      </c>
      <c r="H24" s="16" t="n">
        <v>904176.23</v>
      </c>
      <c r="I24" s="17" t="n">
        <v>205</v>
      </c>
      <c r="J24" s="18" t="n">
        <v>0.2048</v>
      </c>
    </row>
    <row r="25">
      <c r="A25" s="19" t="inlineStr">
        <is>
          <t>East</t>
        </is>
      </c>
      <c r="B25" s="20" t="n">
        <v>1287643.6</v>
      </c>
      <c r="C25" s="21" t="n">
        <v>292</v>
      </c>
      <c r="D25" s="20" t="n">
        <v>243585.42</v>
      </c>
      <c r="E25" s="22" t="n">
        <v>0.0411</v>
      </c>
      <c r="G25" s="19" t="inlineStr">
        <is>
          <t>Email Offer</t>
        </is>
      </c>
      <c r="H25" s="20" t="n">
        <v>844455.76</v>
      </c>
      <c r="I25" s="21" t="n">
        <v>222</v>
      </c>
      <c r="J25" s="22" t="n">
        <v>0.1389</v>
      </c>
    </row>
    <row r="26">
      <c r="G26" s="15" t="inlineStr">
        <is>
          <t>Influencer</t>
        </is>
      </c>
      <c r="H26" s="16" t="n">
        <v>809556.17</v>
      </c>
      <c r="I26" s="17" t="n">
        <v>191</v>
      </c>
      <c r="J26" s="18" t="n">
        <v>0.1959</v>
      </c>
    </row>
    <row r="27">
      <c r="G27" s="19" t="inlineStr">
        <is>
          <t>Festive Sale</t>
        </is>
      </c>
      <c r="H27" s="20" t="n">
        <v>789239.89</v>
      </c>
      <c r="I27" s="21" t="n">
        <v>196</v>
      </c>
      <c r="J27" s="22" t="n">
        <v>0.1864</v>
      </c>
    </row>
  </sheetData>
  <mergeCells count="15">
    <mergeCell ref="F3:G3"/>
    <mergeCell ref="F4:G4"/>
    <mergeCell ref="A1:J1"/>
    <mergeCell ref="J3:K3"/>
    <mergeCell ref="J4:K4"/>
    <mergeCell ref="A20:E20"/>
    <mergeCell ref="B3:C3"/>
    <mergeCell ref="A7:E7"/>
    <mergeCell ref="G20:J20"/>
    <mergeCell ref="G7:J7"/>
    <mergeCell ref="D4:E4"/>
    <mergeCell ref="H4:I4"/>
    <mergeCell ref="D3:E3"/>
    <mergeCell ref="B4:C4"/>
    <mergeCell ref="H3:I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5" t="inlineStr">
        <is>
          <t>MONTHLY SALES AND PROFIT TREND</t>
        </is>
      </c>
    </row>
    <row r="2">
      <c r="A2" s="24" t="inlineStr">
        <is>
          <t>Order Month</t>
        </is>
      </c>
      <c r="B2" s="24" t="inlineStr">
        <is>
          <t>Total Revenue ($)</t>
        </is>
      </c>
      <c r="C2" s="24" t="inlineStr">
        <is>
          <t>Order Count</t>
        </is>
      </c>
      <c r="D2" s="24" t="inlineStr">
        <is>
          <t>Total Cost ($)</t>
        </is>
      </c>
      <c r="E2" s="24" t="inlineStr">
        <is>
          <t>Gross Profit ($)</t>
        </is>
      </c>
      <c r="F2" s="24" t="inlineStr">
        <is>
          <t>Profit Margin %</t>
        </is>
      </c>
    </row>
    <row r="3">
      <c r="A3" s="15" t="inlineStr">
        <is>
          <t>2025-01</t>
        </is>
      </c>
      <c r="B3" s="16" t="n">
        <v>414508.3</v>
      </c>
      <c r="C3" s="17" t="n">
        <v>101</v>
      </c>
      <c r="D3" s="16" t="n">
        <v>336284.42</v>
      </c>
      <c r="E3" s="16" t="n">
        <v>78223.88</v>
      </c>
      <c r="F3" s="18" t="n">
        <v>0.1887</v>
      </c>
    </row>
    <row r="4">
      <c r="A4" s="19" t="inlineStr">
        <is>
          <t>2025-02</t>
        </is>
      </c>
      <c r="B4" s="20" t="n">
        <v>381797.56</v>
      </c>
      <c r="C4" s="21" t="n">
        <v>84</v>
      </c>
      <c r="D4" s="20" t="n">
        <v>282834.36</v>
      </c>
      <c r="E4" s="20" t="n">
        <v>98963.2</v>
      </c>
      <c r="F4" s="22" t="n">
        <v>0.2592</v>
      </c>
    </row>
    <row r="5">
      <c r="A5" s="15" t="inlineStr">
        <is>
          <t>2025-03</t>
        </is>
      </c>
      <c r="B5" s="16" t="n">
        <v>253183.26</v>
      </c>
      <c r="C5" s="17" t="n">
        <v>80</v>
      </c>
      <c r="D5" s="16" t="n">
        <v>204061.76</v>
      </c>
      <c r="E5" s="16" t="n">
        <v>49121.5</v>
      </c>
      <c r="F5" s="18" t="n">
        <v>0.194</v>
      </c>
    </row>
    <row r="6">
      <c r="A6" s="19" t="inlineStr">
        <is>
          <t>2025-04</t>
        </is>
      </c>
      <c r="B6" s="20" t="n">
        <v>361993.81</v>
      </c>
      <c r="C6" s="21" t="n">
        <v>88</v>
      </c>
      <c r="D6" s="20" t="n">
        <v>299647.47</v>
      </c>
      <c r="E6" s="20" t="n">
        <v>62346.34</v>
      </c>
      <c r="F6" s="22" t="n">
        <v>0.1722</v>
      </c>
    </row>
    <row r="7">
      <c r="A7" s="15" t="inlineStr">
        <is>
          <t>2025-05</t>
        </is>
      </c>
      <c r="B7" s="16" t="n">
        <v>332373.01</v>
      </c>
      <c r="C7" s="17" t="n">
        <v>86</v>
      </c>
      <c r="D7" s="16" t="n">
        <v>270547.12</v>
      </c>
      <c r="E7" s="16" t="n">
        <v>61825.89</v>
      </c>
      <c r="F7" s="18" t="n">
        <v>0.186</v>
      </c>
    </row>
    <row r="8">
      <c r="A8" s="19" t="inlineStr">
        <is>
          <t>2025-06</t>
        </is>
      </c>
      <c r="B8" s="20" t="n">
        <v>373196.49</v>
      </c>
      <c r="C8" s="21" t="n">
        <v>77</v>
      </c>
      <c r="D8" s="20" t="n">
        <v>305755.34</v>
      </c>
      <c r="E8" s="20" t="n">
        <v>67441.14999999999</v>
      </c>
      <c r="F8" s="22" t="n">
        <v>0.1807</v>
      </c>
    </row>
    <row r="9">
      <c r="A9" s="15" t="inlineStr">
        <is>
          <t>2025-07</t>
        </is>
      </c>
      <c r="B9" s="16" t="n">
        <v>397458.33</v>
      </c>
      <c r="C9" s="17" t="n">
        <v>88</v>
      </c>
      <c r="D9" s="16" t="n">
        <v>318768.7</v>
      </c>
      <c r="E9" s="16" t="n">
        <v>78689.63</v>
      </c>
      <c r="F9" s="18" t="n">
        <v>0.198</v>
      </c>
    </row>
    <row r="10">
      <c r="A10" s="19" t="inlineStr">
        <is>
          <t>2025-08</t>
        </is>
      </c>
      <c r="B10" s="20" t="n">
        <v>334842.66</v>
      </c>
      <c r="C10" s="21" t="n">
        <v>94</v>
      </c>
      <c r="D10" s="20" t="n">
        <v>275722.86</v>
      </c>
      <c r="E10" s="20" t="n">
        <v>59119.8</v>
      </c>
      <c r="F10" s="22" t="n">
        <v>0.1766</v>
      </c>
    </row>
    <row r="11">
      <c r="A11" s="15" t="inlineStr">
        <is>
          <t>2025-09</t>
        </is>
      </c>
      <c r="B11" s="16" t="n">
        <v>345674.85</v>
      </c>
      <c r="C11" s="17" t="n">
        <v>77</v>
      </c>
      <c r="D11" s="16" t="n">
        <v>279138.65</v>
      </c>
      <c r="E11" s="16" t="n">
        <v>66536.2</v>
      </c>
      <c r="F11" s="18" t="n">
        <v>0.1925</v>
      </c>
    </row>
    <row r="12">
      <c r="A12" s="19" t="inlineStr">
        <is>
          <t>2025-10</t>
        </is>
      </c>
      <c r="B12" s="20" t="n">
        <v>364085.7</v>
      </c>
      <c r="C12" s="21" t="n">
        <v>77</v>
      </c>
      <c r="D12" s="20" t="n">
        <v>292943.39</v>
      </c>
      <c r="E12" s="20" t="n">
        <v>71142.31</v>
      </c>
      <c r="F12" s="22" t="n">
        <v>0.1954</v>
      </c>
    </row>
    <row r="13">
      <c r="A13" s="15" t="inlineStr">
        <is>
          <t>2025-11</t>
        </is>
      </c>
      <c r="B13" s="16" t="n">
        <v>330265.79</v>
      </c>
      <c r="C13" s="17" t="n">
        <v>84</v>
      </c>
      <c r="D13" s="16" t="n">
        <v>264816.02</v>
      </c>
      <c r="E13" s="16" t="n">
        <v>65449.77</v>
      </c>
      <c r="F13" s="18" t="n">
        <v>0.1982</v>
      </c>
    </row>
    <row r="14">
      <c r="A14" s="19" t="inlineStr">
        <is>
          <t>2025-12</t>
        </is>
      </c>
      <c r="B14" s="20" t="n">
        <v>326024.85</v>
      </c>
      <c r="C14" s="21" t="n">
        <v>87</v>
      </c>
      <c r="D14" s="20" t="n">
        <v>264659.61</v>
      </c>
      <c r="E14" s="20" t="n">
        <v>61365.24</v>
      </c>
      <c r="F14" s="22" t="n">
        <v>0.1882</v>
      </c>
    </row>
    <row r="15">
      <c r="A15" s="15" t="inlineStr">
        <is>
          <t>2026-01</t>
        </is>
      </c>
      <c r="B15" s="16" t="n">
        <v>441892.25</v>
      </c>
      <c r="C15" s="17" t="n">
        <v>89</v>
      </c>
      <c r="D15" s="16" t="n">
        <v>307375.01</v>
      </c>
      <c r="E15" s="16" t="n">
        <v>134517.24</v>
      </c>
      <c r="F15" s="18" t="n">
        <v>0.3044</v>
      </c>
    </row>
    <row r="16">
      <c r="A16" s="19" t="inlineStr">
        <is>
          <t>2026-02</t>
        </is>
      </c>
      <c r="B16" s="20" t="n">
        <v>388410.22</v>
      </c>
      <c r="C16" s="21" t="n">
        <v>74</v>
      </c>
      <c r="D16" s="20" t="n">
        <v>317467.41</v>
      </c>
      <c r="E16" s="20" t="n">
        <v>70942.81</v>
      </c>
      <c r="F16" s="22" t="n">
        <v>0.1826</v>
      </c>
    </row>
    <row r="17">
      <c r="A17" s="15" t="inlineStr">
        <is>
          <t>2026-03</t>
        </is>
      </c>
      <c r="B17" s="16" t="n">
        <v>282785.32</v>
      </c>
      <c r="C17" s="17" t="n">
        <v>64</v>
      </c>
      <c r="D17" s="16" t="n">
        <v>225720.97</v>
      </c>
      <c r="E17" s="16" t="n">
        <v>57064.35</v>
      </c>
      <c r="F17" s="18" t="n">
        <v>0.2018</v>
      </c>
    </row>
    <row r="18">
      <c r="A18" s="26" t="inlineStr">
        <is>
          <t>Total</t>
        </is>
      </c>
      <c r="B18" s="27" t="n">
        <v>5328492.4</v>
      </c>
      <c r="C18" s="28" t="n">
        <v>1250</v>
      </c>
      <c r="D18" s="27" t="n">
        <v>4245778.09</v>
      </c>
      <c r="E18" s="27" t="n">
        <v>1082548.82</v>
      </c>
      <c r="F18" s="29" t="n">
        <v>0.2032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2" customHeight="1">
      <c r="A1" s="25" t="inlineStr">
        <is>
          <t>CATEGORY &amp; SEGMENT BREAKDOWNS</t>
        </is>
      </c>
    </row>
    <row r="3" ht="22" customHeight="1">
      <c r="A3" s="12" t="inlineStr">
        <is>
          <t xml:space="preserve">  SALES BY PRODUCT CATEGORY</t>
        </is>
      </c>
      <c r="G3" s="12" t="inlineStr">
        <is>
          <t xml:space="preserve">  SALES BY CUSTOMER SEGMENT</t>
        </is>
      </c>
    </row>
    <row r="4">
      <c r="A4" s="13" t="inlineStr">
        <is>
          <t>Category</t>
        </is>
      </c>
      <c r="B4" s="13" t="inlineStr">
        <is>
          <t>Revenue ($)</t>
        </is>
      </c>
      <c r="C4" s="13" t="inlineStr">
        <is>
          <t>Orders</t>
        </is>
      </c>
      <c r="D4" s="13" t="inlineStr">
        <is>
          <t>Avg Price ($)</t>
        </is>
      </c>
      <c r="E4" s="13" t="inlineStr">
        <is>
          <t>Gross Profit ($)</t>
        </is>
      </c>
      <c r="F4" s="13" t="inlineStr">
        <is>
          <t>Profit Margin %</t>
        </is>
      </c>
      <c r="G4" s="24" t="inlineStr">
        <is>
          <t>Age Group</t>
        </is>
      </c>
      <c r="H4" s="24" t="inlineStr">
        <is>
          <t>Revenue ($)</t>
        </is>
      </c>
      <c r="I4" s="24" t="inlineStr">
        <is>
          <t>Orders</t>
        </is>
      </c>
      <c r="J4" s="24" t="inlineStr">
        <is>
          <t>Revenue/Customer ($)</t>
        </is>
      </c>
    </row>
    <row r="5">
      <c r="A5" s="15" t="inlineStr">
        <is>
          <t>Accessories</t>
        </is>
      </c>
      <c r="B5" s="16" t="n">
        <v>1609821.52</v>
      </c>
      <c r="C5" s="17" t="n">
        <v>478</v>
      </c>
      <c r="D5" s="16" t="n">
        <v>2055.11</v>
      </c>
      <c r="E5" s="16" t="n">
        <v>345746.17</v>
      </c>
      <c r="F5" s="18" t="n">
        <v>0.2148</v>
      </c>
      <c r="G5" s="15" t="inlineStr">
        <is>
          <t>18-24</t>
        </is>
      </c>
      <c r="H5" s="16" t="n">
        <v>884965.42</v>
      </c>
      <c r="I5" s="17" t="n">
        <v>210</v>
      </c>
      <c r="J5" s="16" t="n">
        <v>5746.53</v>
      </c>
    </row>
    <row r="6">
      <c r="A6" s="19" t="inlineStr">
        <is>
          <t>Wearables</t>
        </is>
      </c>
      <c r="B6" s="20" t="n">
        <v>1368209.84</v>
      </c>
      <c r="C6" s="21" t="n">
        <v>152</v>
      </c>
      <c r="D6" s="20" t="n">
        <v>6042.26</v>
      </c>
      <c r="E6" s="20" t="n">
        <v>208448.69</v>
      </c>
      <c r="F6" s="22" t="n">
        <v>0.1524</v>
      </c>
      <c r="G6" s="19" t="inlineStr">
        <is>
          <t>25-34</t>
        </is>
      </c>
      <c r="H6" s="20" t="n">
        <v>1032052.93</v>
      </c>
      <c r="I6" s="21" t="n">
        <v>246</v>
      </c>
      <c r="J6" s="20" t="n">
        <v>5639.63</v>
      </c>
    </row>
    <row r="7">
      <c r="A7" s="15" t="inlineStr">
        <is>
          <t>Audio</t>
        </is>
      </c>
      <c r="B7" s="16" t="n">
        <v>1255686.34</v>
      </c>
      <c r="C7" s="17" t="n">
        <v>308</v>
      </c>
      <c r="D7" s="16" t="n">
        <v>2426.8</v>
      </c>
      <c r="E7" s="16" t="n">
        <v>264390.68</v>
      </c>
      <c r="F7" s="18" t="n">
        <v>0.2106</v>
      </c>
      <c r="G7" s="15" t="inlineStr">
        <is>
          <t>35-44</t>
        </is>
      </c>
      <c r="H7" s="16" t="n">
        <v>1206867.84</v>
      </c>
      <c r="I7" s="17" t="n">
        <v>268</v>
      </c>
      <c r="J7" s="16" t="n">
        <v>6004.32</v>
      </c>
    </row>
    <row r="8">
      <c r="A8" s="19" t="inlineStr">
        <is>
          <t>Office</t>
        </is>
      </c>
      <c r="B8" s="20" t="n">
        <v>1094774.7</v>
      </c>
      <c r="C8" s="21" t="n">
        <v>312</v>
      </c>
      <c r="D8" s="20" t="n">
        <v>2316.83</v>
      </c>
      <c r="E8" s="20" t="n">
        <v>264163.77</v>
      </c>
      <c r="F8" s="22" t="n">
        <v>0.2413</v>
      </c>
      <c r="G8" s="19" t="inlineStr">
        <is>
          <t>45-54</t>
        </is>
      </c>
      <c r="H8" s="20" t="n">
        <v>1059588.09</v>
      </c>
      <c r="I8" s="21" t="n">
        <v>267</v>
      </c>
      <c r="J8" s="20" t="n">
        <v>5271.58</v>
      </c>
    </row>
    <row r="9">
      <c r="G9" s="15" t="inlineStr">
        <is>
          <t>55+</t>
        </is>
      </c>
      <c r="H9" s="16" t="n">
        <v>1145018.12</v>
      </c>
      <c r="I9" s="17" t="n">
        <v>259</v>
      </c>
      <c r="J9" s="16" t="n">
        <v>6222.92</v>
      </c>
    </row>
  </sheetData>
  <mergeCells count="3">
    <mergeCell ref="A3:F3"/>
    <mergeCell ref="A1:J1"/>
    <mergeCell ref="G3:J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2026-06-10T15:15:03Z</dcterms:created>
  <dcterms:modified xmlns:dcterms="http://purl.org/dc/terms/" xmlns:xsi="http://www.w3.org/2001/XMLSchema-instance" xsi:type="dcterms:W3CDTF">2026-06-10T15:15:03Z</dcterms:modified>
</cp:coreProperties>
</file>